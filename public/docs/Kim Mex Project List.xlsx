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anagement\Kim Mex\PHOTO COMPANY PROFILE\"/>
    </mc:Choice>
  </mc:AlternateContent>
  <xr:revisionPtr revIDLastSave="0" documentId="13_ncr:1_{ACEC4BAE-4631-4319-BA27-89C7C3D3BA9C}" xr6:coauthVersionLast="47" xr6:coauthVersionMax="47" xr10:uidLastSave="{00000000-0000-0000-0000-000000000000}"/>
  <bookViews>
    <workbookView xWindow="-120" yWindow="-120" windowWidth="29040" windowHeight="15840" xr2:uid="{7E38BAB9-96AF-4A11-80B8-0868CE5A8086}"/>
  </bookViews>
  <sheets>
    <sheet name="Sheet1" sheetId="1" r:id="rId1"/>
  </sheets>
  <definedNames>
    <definedName name="_Hlk219562958" localSheetId="0">Sheet1!$B$10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1" l="1"/>
  <c r="E24" i="1"/>
  <c r="F23" i="1"/>
  <c r="F21" i="1"/>
  <c r="E21" i="1"/>
  <c r="E17" i="1"/>
  <c r="F14" i="1" l="1"/>
  <c r="E12" i="1" l="1"/>
  <c r="E7" i="1" l="1"/>
  <c r="E6" i="1" l="1"/>
  <c r="E5" i="1" l="1"/>
</calcChain>
</file>

<file path=xl/sharedStrings.xml><?xml version="1.0" encoding="utf-8"?>
<sst xmlns="http://schemas.openxmlformats.org/spreadsheetml/2006/main" count="172" uniqueCount="124">
  <si>
    <t>ម្ចាស់គម្រោង</t>
  </si>
  <si>
    <t>ទីតាំងសាងសង់</t>
  </si>
  <si>
    <t>រយះពេល</t>
  </si>
  <si>
    <t xml:space="preserve">ថ្ងៃចាប់ផ្តើម </t>
  </si>
  <si>
    <t>ថ្ងៃបញ្ចប់</t>
  </si>
  <si>
    <t>ចំនួនជាន់</t>
  </si>
  <si>
    <t>ឈ្មោះគម្រោង</t>
  </si>
  <si>
    <t>ល.រ</t>
  </si>
  <si>
    <t>ក្រសួងសេដ្ខកិច្ច និង ហរិញ្ញវត្ថុ</t>
  </si>
  <si>
    <t>តម្លៃសាងសង់ ($)</t>
  </si>
  <si>
    <t>ផ្ទៃក្រឡា (m²)</t>
  </si>
  <si>
    <t>អគារលេខ ៦០, ផ្លូវលេខ ៩២, សង្កាត់វត្តភ្នំ, ខណ្ឌដូនពេញ, រាជធានីភ្នំពេញ</t>
  </si>
  <si>
    <t>ឧសភា 2025</t>
  </si>
  <si>
    <t>កក្កដា 2026</t>
  </si>
  <si>
    <t>អគារការិយាល័យក្រសួងសេដ្ឋកិច្ច MEF-09</t>
  </si>
  <si>
    <t>អាជ្ញាធរសេវាហិរញ្ញវត្ថុមិនមែនធនាគារ NBFSA</t>
  </si>
  <si>
    <t>អគារលេខ ១៦៨ ផ្លូវ ៥៩៨ សង្កាត់ច្រាំងចំរេះ១ ខណ្ឌឫស្សីកែវ រាជធានីភ្នំពេញ</t>
  </si>
  <si>
    <t>អគារការិយាល័យ អាជ្ញាធរសេវាហិរញ្ញវត្ថុមិនមែនធនាគារ NBFSA-I</t>
  </si>
  <si>
    <t>6ជាន់</t>
  </si>
  <si>
    <t>14ជាន់</t>
  </si>
  <si>
    <t>មករា 2026</t>
  </si>
  <si>
    <t>មករា 2025</t>
  </si>
  <si>
    <t>វិច្ឆិកា 2026</t>
  </si>
  <si>
    <t>អគារការិយាល័យ ក្រុមព្រឹក្សាគំាពារសង្គម NSPC</t>
  </si>
  <si>
    <t>ក្រុមព្រឹក្សាគំាពារសង្គម NSPC</t>
  </si>
  <si>
    <t>កក្កដា 2025</t>
  </si>
  <si>
    <t>មករា 2027</t>
  </si>
  <si>
    <t>14 ខែ</t>
  </si>
  <si>
    <t>22 ខែ</t>
  </si>
  <si>
    <t>18 ខែ</t>
  </si>
  <si>
    <t>12ជាន់</t>
  </si>
  <si>
    <t xml:space="preserve">ផ្លូវខេមតិច សង្កាត់ព្រែកតាសេត ខណ្ឌជ្រោយចង្វារ រាជធានីភ្នំពេញ </t>
  </si>
  <si>
    <t>សាកលវិទ្យាល័យភូមិន្ទភ្នំពេញ Smart Building</t>
  </si>
  <si>
    <t>សាកលវិទ្យាល័យភូមិន្ទភ្នំពេញ</t>
  </si>
  <si>
    <t>ភូមិតារត្ន័ សង្កាត់ព្រែកតាសេក ខណ្ឌជ្រោយចង្វារ រាជធានីភ្នំពេញ</t>
  </si>
  <si>
    <t>4ជាន់</t>
  </si>
  <si>
    <t>កញ្ញា 2025</t>
  </si>
  <si>
    <t>កញ្ញា 2026</t>
  </si>
  <si>
    <t>ធ្នូ 2026</t>
  </si>
  <si>
    <t>អគារស្នាក់នៅគយ និង រដ្ឋាករ ខេត្តព្រះសីហនុ GDCE-SHV</t>
  </si>
  <si>
    <t>អគ្គនាយកដ្ឋានគយ និង រដ្ឋាករកម្ពុជា</t>
  </si>
  <si>
    <t xml:space="preserve">ផ្លូវផែ ភូមិ៣ សង្កាត់លេខ៣ ខណ្ឌមិត្តភាព ក្រុងព្រះសីហនុ </t>
  </si>
  <si>
    <t>ធ្នូ 2023</t>
  </si>
  <si>
    <t>មិថុនា 2026</t>
  </si>
  <si>
    <t>30 ខែ</t>
  </si>
  <si>
    <t>អគារមន្ទីសេដ្ឋកិច្ចរាជធានីភ្នំពេញ DEF-PP</t>
  </si>
  <si>
    <t>5ជាន់</t>
  </si>
  <si>
    <t>ធ្នូ 2024</t>
  </si>
  <si>
    <t>កុម្ភះ 2025</t>
  </si>
  <si>
    <t>មេសា 2026</t>
  </si>
  <si>
    <t xml:space="preserve">សង្កាត់ព្រែកតាសេត ខណ្ឌជ្រោយចង្វារ រាជធានីភ្នំពេញ </t>
  </si>
  <si>
    <t>សាងសង់ចំណតសាឡង់ ឃ្លាំងគយ ទីលានត្រួតពិនិត្យ
 និងហេដ្ឋារចនាសម្ព័ន្ធផ្សេងៗ នៅការិយាល័យគយនិងរដ្ឋាករជ្រៃធំ</t>
  </si>
  <si>
    <t>ឃុំជ្រៃធំ ស្រុកស្អាង ខេត្តកណ្តាល</t>
  </si>
  <si>
    <t>ផ្ទាល់ដី</t>
  </si>
  <si>
    <t>12 ខែ</t>
  </si>
  <si>
    <t>កុម្ភះ 2026</t>
  </si>
  <si>
    <t>កុម្ភះ 2027</t>
  </si>
  <si>
    <t>សាងសង់អគាររដ្ឋបាល និងហេដ្ឋារចនាសម្ព័ន្ធផ្សេងៗនៅមណ្ឌលសន្និធិផលិតផលតេលសិលាខេត្តព្រះសីហនុនៃនាយកដ្ឋានរដ្ឋាករ (ស្ទឹងហាវ)</t>
  </si>
  <si>
    <t>ស្រុកស្ទឹងហាវ ខេត្តព្រះសីហនុ</t>
  </si>
  <si>
    <t>3ជាន់</t>
  </si>
  <si>
    <t>គម្រោងសាងសង់អគារការិយាល័យកម្ពស់ ២១ ជាន់ និងដំបូលទែរ៉ាស់</t>
  </si>
  <si>
    <t xml:space="preserve">ក្រុមហ៊ុន SOKIMEX </t>
  </si>
  <si>
    <t xml:space="preserve">ផ្លូវក្រមួនសរ សង្កាត់ស្រះចក ខណ្ឌ័ដូនពេញ រាជធានីភ្នំពេញ </t>
  </si>
  <si>
    <t>21ជាន់</t>
  </si>
  <si>
    <t>34 ខែ</t>
  </si>
  <si>
    <t>កញ្ញា 2027</t>
  </si>
  <si>
    <t>ការសាងសង់អគារទីស្តីការថ្មី របស់គណៈ​កម្មាធិការជាតិរៀបចំការបោះឆ្នោត កម្ពស់៩ជាន់</t>
  </si>
  <si>
    <t xml:space="preserve">គណៈកម្មាធិការជាតិរៀបចំការបោះឆ្នោត </t>
  </si>
  <si>
    <t>9ជាន់</t>
  </si>
  <si>
    <t>មករា 2024</t>
  </si>
  <si>
    <t>តុលា 2025</t>
  </si>
  <si>
    <t xml:space="preserve">ផ្លូវសុធារស សង្កាត់ទន្លេបាសាក់ ខណ្ឌ័ចំការមន រាជធានីភ្នំពេញ </t>
  </si>
  <si>
    <t>គម្រោងសាងសង់ហេដ្ឋារចនាសម្ពន្ធ័របស់តុលាការកំពូល</t>
  </si>
  <si>
    <t>តុលាការកំពូល</t>
  </si>
  <si>
    <t xml:space="preserve">ផ្លូវសុធារស សង្កាត់ចតុមុខ ខណ្ឌ័ដូនពេញ រាជធានីភ្នំពេញ </t>
  </si>
  <si>
    <t>គម្រោងជួសជុលកែលម្អ និង សាងសង់ហេដ្ឋារចនាសម្ពន្ធ័ នៃទីស្តីការក្រសួងយុតិ្តធម៏</t>
  </si>
  <si>
    <t>ក្រសួងយុតិ្តធម៏</t>
  </si>
  <si>
    <t>កក្កដា 2024</t>
  </si>
  <si>
    <t>គម្រោងសាងសង់អគារសាលាដំបូង និងអយ្យការអមសាលាដំបូងខេត្តកែប</t>
  </si>
  <si>
    <t>ក្រុងកែប ខេត្តកែប</t>
  </si>
  <si>
    <t>សីហា 2025</t>
  </si>
  <si>
    <t>តុលា 2026</t>
  </si>
  <si>
    <t xml:space="preserve">គម្រោងសាងសង់ពហុកីឡដ្ឋានសម្តេចតេជោក្រគរ </t>
  </si>
  <si>
    <t>អគ្គិសនីកម្ពុជា</t>
  </si>
  <si>
    <t>ផ្លូវជាតិលេខ៥ ស្រុកក្រគរ ខេត្តពោធិសាត់</t>
  </si>
  <si>
    <t>25ហិចតា</t>
  </si>
  <si>
    <t>គម្រោងសាងសង់អគារទីស្តីការក្រសួងមហាផ្ទៃ</t>
  </si>
  <si>
    <t>ក្រសួងមហាផ្ទៃ</t>
  </si>
  <si>
    <t>មហាវិថីព្រះនរោត្តម សង្កាត់ទន្លេបាសាក់ ខណ្ឌចំការមន រាជធានីភ្នំពេញ</t>
  </si>
  <si>
    <t>11ជាន់</t>
  </si>
  <si>
    <t>20 ខែ</t>
  </si>
  <si>
    <t>វិចិ្ឆកា 2021</t>
  </si>
  <si>
    <t>មិថុនា 2023</t>
  </si>
  <si>
    <t>36 ខែ</t>
  </si>
  <si>
    <t>ឧសភា 2020</t>
  </si>
  <si>
    <t>ឧសភា 2023</t>
  </si>
  <si>
    <t xml:space="preserve"> សង្កាត់ឃ្មួញ ខណ្ឌសែនសុខ រាជធានីភ្នំពេញ</t>
  </si>
  <si>
    <t>គម្រោងសាងសង់អគារទីស្នាក់ការកណ្តាល ប.ស.ស</t>
  </si>
  <si>
    <t>បេឡាជាតិសន្តិសុខសង្គម</t>
  </si>
  <si>
    <r>
      <rPr>
        <sz val="11"/>
        <color theme="1"/>
        <rFont val="Khmer OS Siemreap"/>
      </rPr>
      <t>ផ្លូវលេខ21</t>
    </r>
    <r>
      <rPr>
        <b/>
        <sz val="11"/>
        <color theme="1"/>
        <rFont val="Khmer OS Siemreap"/>
      </rPr>
      <t xml:space="preserve"> </t>
    </r>
    <r>
      <rPr>
        <sz val="11"/>
        <color theme="1"/>
        <rFont val="Khmer OS Siemreap"/>
      </rPr>
      <t xml:space="preserve">សង្កាត់ទន្លេបាសាក់ ខណ្ឌចំការមន រាជធានីភ្នំពេញ </t>
    </r>
  </si>
  <si>
    <t>17ជាន់</t>
  </si>
  <si>
    <t>24 ខែ</t>
  </si>
  <si>
    <t>មករា 2023</t>
  </si>
  <si>
    <t xml:space="preserve">គម្រោងសាងសង់អគារគណៈកម្មការគ្រប់គ្រងល្បែងពាណិជ្ជកម្មកម្ពុជា </t>
  </si>
  <si>
    <t>គម្រោងសាងសង់អគារអគ្គិសនីកម្ពុជា សាខាទួលពង្រ និង សាខាងចាក់អង្រែក្រោម</t>
  </si>
  <si>
    <t>មិថុនា 2022</t>
  </si>
  <si>
    <t>មេសា 2024</t>
  </si>
  <si>
    <t>គម្រោងសាងសង់អគារការិយាល័យសាខា ប.ស.ស ២៤ខេត្តក្រុង</t>
  </si>
  <si>
    <t>សាខា ប.ស.ស ២៤ខេត្តក្រុង</t>
  </si>
  <si>
    <t>7ជាន់</t>
  </si>
  <si>
    <t>33 ខែ</t>
  </si>
  <si>
    <t>គម្រោងសាងសង់អគារភូមិន្ទរដ្ឋាបាល វិជ្ចាជីវះតុលាការ និង វិទ្យាស្ថានសេដ្ឋកិច្ច</t>
  </si>
  <si>
    <t>មិថុនា 2021</t>
  </si>
  <si>
    <t>គម្រោងសាងសង់អគារសាលាជាតិគយ និង អគារស្នាក់នៅ នៃអគ្គនាយកដ្ឋានគយ និង រដ្ឋាការកម្ពុជា</t>
  </si>
  <si>
    <t>តុលា 2019</t>
  </si>
  <si>
    <t>តុលា 2021</t>
  </si>
  <si>
    <t xml:space="preserve">គម្រោងសាងសង់មន្ទីរពេទ្យបង្អែកជ័យជំនះ </t>
  </si>
  <si>
    <t>ក្រុងតាខ្មៅ ខេត្តកណ្តាល</t>
  </si>
  <si>
    <t>កុម្ភះ 2023</t>
  </si>
  <si>
    <t>សីហា 2024</t>
  </si>
  <si>
    <t>គម្រោងសាងសង់អគារសាលារៀន រោងជាង និង អគារស្នាក់នៅ (NTTI_TVET Park)</t>
  </si>
  <si>
    <t>ក្រសួងការងារ</t>
  </si>
  <si>
    <t>ធ្នូ 2020</t>
  </si>
  <si>
    <t xml:space="preserve">បរិវេណវិទ្យាស្ថានពហុបច្ចេកទេស ផ្លូវសហពន្ធ័រូស្សី ខណ្ឌទួលគោក រាជធានីភ្នំពេញ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</si>
</sst>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!Khmer OS Siemreap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color theme="1"/>
      <name val="!Khmer OS Siemreap"/>
    </font>
    <font>
      <sz val="11"/>
      <color theme="1"/>
      <name val="Khmer OS Siemreap"/>
    </font>
    <font>
      <b/>
      <sz val="11"/>
      <color theme="1"/>
      <name val="Khmer OS Siemreap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1" applyNumberFormat="1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43" fontId="2" fillId="0" borderId="1" xfId="1" applyFont="1" applyBorder="1" applyAlignment="1">
      <alignment vertical="center"/>
    </xf>
    <xf numFmtId="164" fontId="2" fillId="0" borderId="1" xfId="1" applyNumberFormat="1" applyFont="1" applyBorder="1" applyAlignment="1">
      <alignment vertical="center"/>
    </xf>
    <xf numFmtId="164" fontId="2" fillId="0" borderId="1" xfId="1" applyNumberFormat="1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43" fontId="0" fillId="0" borderId="0" xfId="0" applyNumberFormat="1"/>
  </cellXfs>
  <cellStyles count="3">
    <cellStyle name="Comma" xfId="1" builtinId="3"/>
    <cellStyle name="Normal" xfId="0" builtinId="0"/>
    <cellStyle name="Normal 2 2" xfId="2" xr:uid="{1E9E225C-3371-4FDB-96D2-600EA59E64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C10B-4218-47A3-98F3-3F83B7D6B90E}">
  <dimension ref="A1:L27"/>
  <sheetViews>
    <sheetView tabSelected="1" topLeftCell="A17" zoomScale="85" zoomScaleNormal="85" workbookViewId="0">
      <selection activeCell="B29" sqref="B29"/>
    </sheetView>
  </sheetViews>
  <sheetFormatPr defaultRowHeight="15" x14ac:dyDescent="0.25"/>
  <cols>
    <col min="1" max="1" width="7.5703125" customWidth="1"/>
    <col min="2" max="2" width="70.7109375" customWidth="1"/>
    <col min="3" max="3" width="32" customWidth="1"/>
    <col min="4" max="4" width="40.7109375" customWidth="1"/>
    <col min="5" max="5" width="18.7109375" customWidth="1"/>
    <col min="6" max="6" width="13.5703125" customWidth="1"/>
    <col min="7" max="7" width="11.28515625" customWidth="1"/>
    <col min="8" max="8" width="11.140625" customWidth="1"/>
    <col min="9" max="10" width="14.7109375" bestFit="1" customWidth="1"/>
  </cols>
  <sheetData>
    <row r="1" spans="1:12" ht="9" customHeight="1" x14ac:dyDescent="0.25"/>
    <row r="2" spans="1:12" ht="33" customHeight="1" x14ac:dyDescent="0.25">
      <c r="A2" s="4" t="s">
        <v>7</v>
      </c>
      <c r="B2" s="4" t="s">
        <v>6</v>
      </c>
      <c r="C2" s="4" t="s">
        <v>0</v>
      </c>
      <c r="D2" s="4" t="s">
        <v>1</v>
      </c>
      <c r="E2" s="4" t="s">
        <v>9</v>
      </c>
      <c r="F2" s="4" t="s">
        <v>10</v>
      </c>
      <c r="G2" s="4" t="s">
        <v>5</v>
      </c>
      <c r="H2" s="4" t="s">
        <v>2</v>
      </c>
      <c r="I2" s="4" t="s">
        <v>3</v>
      </c>
      <c r="J2" s="4" t="s">
        <v>4</v>
      </c>
      <c r="K2" s="2"/>
    </row>
    <row r="3" spans="1:12" ht="46.5" x14ac:dyDescent="0.25">
      <c r="A3" s="5">
        <v>1</v>
      </c>
      <c r="B3" s="6" t="s">
        <v>14</v>
      </c>
      <c r="C3" s="6" t="s">
        <v>8</v>
      </c>
      <c r="D3" s="7" t="s">
        <v>11</v>
      </c>
      <c r="E3" s="8">
        <v>3649999.9981404287</v>
      </c>
      <c r="F3" s="9">
        <v>3563</v>
      </c>
      <c r="G3" s="9" t="s">
        <v>18</v>
      </c>
      <c r="H3" s="10" t="s">
        <v>27</v>
      </c>
      <c r="I3" s="9" t="s">
        <v>12</v>
      </c>
      <c r="J3" s="9" t="s">
        <v>13</v>
      </c>
      <c r="K3" s="3"/>
      <c r="L3" s="1"/>
    </row>
    <row r="4" spans="1:12" ht="53.25" customHeight="1" x14ac:dyDescent="0.25">
      <c r="A4" s="5">
        <v>2</v>
      </c>
      <c r="B4" s="7" t="s">
        <v>17</v>
      </c>
      <c r="C4" s="7" t="s">
        <v>15</v>
      </c>
      <c r="D4" s="7" t="s">
        <v>16</v>
      </c>
      <c r="E4" s="8">
        <v>4930000</v>
      </c>
      <c r="F4" s="9">
        <v>6900</v>
      </c>
      <c r="G4" s="9" t="s">
        <v>19</v>
      </c>
      <c r="H4" s="10" t="s">
        <v>28</v>
      </c>
      <c r="I4" s="9" t="s">
        <v>21</v>
      </c>
      <c r="J4" s="9" t="s">
        <v>22</v>
      </c>
      <c r="K4" s="1"/>
      <c r="L4" s="1"/>
    </row>
    <row r="5" spans="1:12" ht="51" customHeight="1" x14ac:dyDescent="0.25">
      <c r="A5" s="5">
        <v>3</v>
      </c>
      <c r="B5" s="6" t="s">
        <v>23</v>
      </c>
      <c r="C5" s="7" t="s">
        <v>24</v>
      </c>
      <c r="D5" s="7" t="s">
        <v>31</v>
      </c>
      <c r="E5" s="8">
        <f>7630700+2151589+547800</f>
        <v>10330089</v>
      </c>
      <c r="F5" s="9">
        <v>8223</v>
      </c>
      <c r="G5" s="9" t="s">
        <v>30</v>
      </c>
      <c r="H5" s="10" t="s">
        <v>29</v>
      </c>
      <c r="I5" s="9" t="s">
        <v>25</v>
      </c>
      <c r="J5" s="9" t="s">
        <v>26</v>
      </c>
      <c r="K5" s="1"/>
      <c r="L5" s="1"/>
    </row>
    <row r="6" spans="1:12" ht="52.5" customHeight="1" x14ac:dyDescent="0.25">
      <c r="A6" s="5">
        <v>4</v>
      </c>
      <c r="B6" s="6" t="s">
        <v>32</v>
      </c>
      <c r="C6" s="7" t="s">
        <v>33</v>
      </c>
      <c r="D6" s="7" t="s">
        <v>34</v>
      </c>
      <c r="E6" s="8">
        <f>57368000000/4000</f>
        <v>14342000</v>
      </c>
      <c r="F6" s="9">
        <v>16500</v>
      </c>
      <c r="G6" s="9" t="s">
        <v>35</v>
      </c>
      <c r="H6" s="10" t="s">
        <v>27</v>
      </c>
      <c r="I6" s="9" t="s">
        <v>36</v>
      </c>
      <c r="J6" s="9" t="s">
        <v>38</v>
      </c>
      <c r="K6" s="1"/>
      <c r="L6" s="1"/>
    </row>
    <row r="7" spans="1:12" ht="46.5" x14ac:dyDescent="0.25">
      <c r="A7" s="5">
        <v>5</v>
      </c>
      <c r="B7" s="6" t="s">
        <v>39</v>
      </c>
      <c r="C7" s="7" t="s">
        <v>40</v>
      </c>
      <c r="D7" s="7" t="s">
        <v>41</v>
      </c>
      <c r="E7" s="8">
        <f>11961791+402949.87+660386.4</f>
        <v>13025127.27</v>
      </c>
      <c r="F7" s="9">
        <v>12638</v>
      </c>
      <c r="G7" s="9" t="s">
        <v>30</v>
      </c>
      <c r="H7" s="10" t="s">
        <v>44</v>
      </c>
      <c r="I7" s="9" t="s">
        <v>42</v>
      </c>
      <c r="J7" s="9" t="s">
        <v>43</v>
      </c>
      <c r="K7" s="1"/>
      <c r="L7" s="1"/>
    </row>
    <row r="8" spans="1:12" ht="48" customHeight="1" x14ac:dyDescent="0.25">
      <c r="A8" s="5">
        <v>6</v>
      </c>
      <c r="B8" s="6" t="s">
        <v>45</v>
      </c>
      <c r="C8" s="6" t="s">
        <v>8</v>
      </c>
      <c r="D8" s="7" t="s">
        <v>50</v>
      </c>
      <c r="E8" s="8">
        <v>4234999.9965800596</v>
      </c>
      <c r="F8" s="9">
        <v>3552</v>
      </c>
      <c r="G8" s="9" t="s">
        <v>46</v>
      </c>
      <c r="H8" s="10" t="s">
        <v>27</v>
      </c>
      <c r="I8" s="9" t="s">
        <v>48</v>
      </c>
      <c r="J8" s="9" t="s">
        <v>49</v>
      </c>
      <c r="K8" s="1"/>
      <c r="L8" s="1"/>
    </row>
    <row r="9" spans="1:12" ht="78.75" customHeight="1" x14ac:dyDescent="0.25">
      <c r="A9" s="5">
        <v>7</v>
      </c>
      <c r="B9" s="7" t="s">
        <v>51</v>
      </c>
      <c r="C9" s="7" t="s">
        <v>40</v>
      </c>
      <c r="D9" s="7" t="s">
        <v>52</v>
      </c>
      <c r="E9" s="8">
        <v>3452000.0003755037</v>
      </c>
      <c r="F9" s="9">
        <v>5345</v>
      </c>
      <c r="G9" s="6" t="s">
        <v>53</v>
      </c>
      <c r="H9" s="10" t="s">
        <v>54</v>
      </c>
      <c r="I9" s="9" t="s">
        <v>55</v>
      </c>
      <c r="J9" s="9" t="s">
        <v>56</v>
      </c>
      <c r="K9" s="1"/>
      <c r="L9" s="1"/>
    </row>
    <row r="10" spans="1:12" ht="69.75" x14ac:dyDescent="0.25">
      <c r="A10" s="5">
        <v>8</v>
      </c>
      <c r="B10" s="7" t="s">
        <v>57</v>
      </c>
      <c r="C10" s="7" t="s">
        <v>40</v>
      </c>
      <c r="D10" s="7" t="s">
        <v>58</v>
      </c>
      <c r="E10" s="8">
        <v>1709000</v>
      </c>
      <c r="F10" s="9">
        <v>2300</v>
      </c>
      <c r="G10" s="9" t="s">
        <v>59</v>
      </c>
      <c r="H10" s="10" t="s">
        <v>54</v>
      </c>
      <c r="I10" s="9" t="s">
        <v>20</v>
      </c>
      <c r="J10" s="9" t="s">
        <v>26</v>
      </c>
      <c r="K10" s="1"/>
      <c r="L10" s="1"/>
    </row>
    <row r="11" spans="1:12" ht="52.5" customHeight="1" x14ac:dyDescent="0.25">
      <c r="A11" s="5">
        <v>9</v>
      </c>
      <c r="B11" s="7" t="s">
        <v>60</v>
      </c>
      <c r="C11" s="6" t="s">
        <v>61</v>
      </c>
      <c r="D11" s="7" t="s">
        <v>62</v>
      </c>
      <c r="E11" s="8">
        <v>7872245.7166321222</v>
      </c>
      <c r="F11" s="9">
        <v>11243</v>
      </c>
      <c r="G11" s="9" t="s">
        <v>63</v>
      </c>
      <c r="H11" s="10" t="s">
        <v>64</v>
      </c>
      <c r="I11" s="9" t="s">
        <v>47</v>
      </c>
      <c r="J11" s="9" t="s">
        <v>65</v>
      </c>
      <c r="K11" s="1"/>
      <c r="L11" s="1"/>
    </row>
    <row r="12" spans="1:12" ht="46.5" x14ac:dyDescent="0.25">
      <c r="A12" s="5">
        <v>10</v>
      </c>
      <c r="B12" s="7" t="s">
        <v>66</v>
      </c>
      <c r="C12" s="6" t="s">
        <v>67</v>
      </c>
      <c r="D12" s="7" t="s">
        <v>71</v>
      </c>
      <c r="E12" s="8">
        <f>1219728.8+22500000</f>
        <v>23719728.800000001</v>
      </c>
      <c r="F12" s="9">
        <v>32000</v>
      </c>
      <c r="G12" s="9" t="s">
        <v>68</v>
      </c>
      <c r="H12" s="10" t="s">
        <v>28</v>
      </c>
      <c r="I12" s="9" t="s">
        <v>69</v>
      </c>
      <c r="J12" s="9" t="s">
        <v>70</v>
      </c>
      <c r="K12" s="1"/>
      <c r="L12" s="1"/>
    </row>
    <row r="13" spans="1:12" ht="46.5" x14ac:dyDescent="0.25">
      <c r="A13" s="5">
        <v>11</v>
      </c>
      <c r="B13" s="7" t="s">
        <v>72</v>
      </c>
      <c r="C13" s="6" t="s">
        <v>73</v>
      </c>
      <c r="D13" s="7" t="s">
        <v>74</v>
      </c>
      <c r="E13" s="8">
        <v>2500000</v>
      </c>
      <c r="F13" s="9">
        <v>1938</v>
      </c>
      <c r="G13" s="9" t="s">
        <v>35</v>
      </c>
      <c r="H13" s="10" t="s">
        <v>27</v>
      </c>
      <c r="I13" s="9" t="s">
        <v>25</v>
      </c>
      <c r="J13" s="9" t="s">
        <v>37</v>
      </c>
      <c r="K13" s="1"/>
      <c r="L13" s="1"/>
    </row>
    <row r="14" spans="1:12" ht="46.5" x14ac:dyDescent="0.25">
      <c r="A14" s="5">
        <v>12</v>
      </c>
      <c r="B14" s="7" t="s">
        <v>75</v>
      </c>
      <c r="C14" s="6" t="s">
        <v>76</v>
      </c>
      <c r="D14" s="7" t="s">
        <v>74</v>
      </c>
      <c r="E14" s="8">
        <v>11201356</v>
      </c>
      <c r="F14" s="9">
        <f>5518+1990+1270+1960</f>
        <v>10738</v>
      </c>
      <c r="G14" s="9" t="s">
        <v>18</v>
      </c>
      <c r="H14" s="10" t="s">
        <v>27</v>
      </c>
      <c r="I14" s="9" t="s">
        <v>69</v>
      </c>
      <c r="J14" s="9" t="s">
        <v>48</v>
      </c>
      <c r="K14" s="1"/>
      <c r="L14" s="1"/>
    </row>
    <row r="15" spans="1:12" ht="46.5" x14ac:dyDescent="0.25">
      <c r="A15" s="5">
        <v>13</v>
      </c>
      <c r="B15" s="7" t="s">
        <v>78</v>
      </c>
      <c r="C15" s="6" t="s">
        <v>76</v>
      </c>
      <c r="D15" s="7" t="s">
        <v>79</v>
      </c>
      <c r="E15" s="8">
        <v>2042000</v>
      </c>
      <c r="F15" s="9">
        <v>2960</v>
      </c>
      <c r="G15" s="9" t="s">
        <v>59</v>
      </c>
      <c r="H15" s="10" t="s">
        <v>27</v>
      </c>
      <c r="I15" s="9" t="s">
        <v>80</v>
      </c>
      <c r="J15" s="9" t="s">
        <v>81</v>
      </c>
      <c r="K15" s="1"/>
      <c r="L15" s="1"/>
    </row>
    <row r="16" spans="1:12" ht="27.75" customHeight="1" x14ac:dyDescent="0.65">
      <c r="A16" s="5">
        <v>14</v>
      </c>
      <c r="B16" s="11" t="s">
        <v>82</v>
      </c>
      <c r="C16" s="6" t="s">
        <v>83</v>
      </c>
      <c r="D16" s="6" t="s">
        <v>84</v>
      </c>
      <c r="E16" s="8">
        <v>4700000</v>
      </c>
      <c r="F16" s="12" t="s">
        <v>85</v>
      </c>
      <c r="G16" s="11" t="s">
        <v>53</v>
      </c>
      <c r="H16" s="10" t="s">
        <v>29</v>
      </c>
      <c r="I16" s="9" t="s">
        <v>77</v>
      </c>
      <c r="J16" s="9" t="s">
        <v>20</v>
      </c>
    </row>
    <row r="17" spans="1:10" ht="49.5" customHeight="1" x14ac:dyDescent="0.25">
      <c r="A17" s="5">
        <v>15</v>
      </c>
      <c r="B17" s="6" t="s">
        <v>86</v>
      </c>
      <c r="C17" s="6" t="s">
        <v>87</v>
      </c>
      <c r="D17" s="7" t="s">
        <v>88</v>
      </c>
      <c r="E17" s="8">
        <f>62408969.88+11167000</f>
        <v>73575969.879999995</v>
      </c>
      <c r="F17" s="9">
        <v>105545</v>
      </c>
      <c r="G17" s="9" t="s">
        <v>89</v>
      </c>
      <c r="H17" s="10" t="s">
        <v>90</v>
      </c>
      <c r="I17" s="9" t="s">
        <v>91</v>
      </c>
      <c r="J17" s="9" t="s">
        <v>92</v>
      </c>
    </row>
    <row r="18" spans="1:10" ht="32.25" customHeight="1" x14ac:dyDescent="0.25">
      <c r="A18" s="5">
        <v>16</v>
      </c>
      <c r="B18" s="6" t="s">
        <v>97</v>
      </c>
      <c r="C18" s="6" t="s">
        <v>98</v>
      </c>
      <c r="D18" s="7" t="s">
        <v>96</v>
      </c>
      <c r="E18" s="8">
        <v>37202000</v>
      </c>
      <c r="F18" s="9">
        <v>53193</v>
      </c>
      <c r="G18" s="9" t="s">
        <v>63</v>
      </c>
      <c r="H18" s="10" t="s">
        <v>93</v>
      </c>
      <c r="I18" s="9" t="s">
        <v>94</v>
      </c>
      <c r="J18" s="9" t="s">
        <v>95</v>
      </c>
    </row>
    <row r="19" spans="1:10" ht="52.5" customHeight="1" x14ac:dyDescent="0.25">
      <c r="A19" s="5">
        <v>17</v>
      </c>
      <c r="B19" s="6" t="s">
        <v>103</v>
      </c>
      <c r="C19" s="6" t="s">
        <v>8</v>
      </c>
      <c r="D19" s="13" t="s">
        <v>99</v>
      </c>
      <c r="E19" s="8">
        <v>9797514.9800000004</v>
      </c>
      <c r="F19" s="9">
        <v>8087</v>
      </c>
      <c r="G19" s="9" t="s">
        <v>100</v>
      </c>
      <c r="H19" s="10" t="s">
        <v>101</v>
      </c>
      <c r="I19" s="9" t="s">
        <v>102</v>
      </c>
      <c r="J19" s="9" t="s">
        <v>47</v>
      </c>
    </row>
    <row r="20" spans="1:10" ht="66.75" customHeight="1" x14ac:dyDescent="0.25">
      <c r="A20" s="5">
        <v>18</v>
      </c>
      <c r="B20" s="7" t="s">
        <v>104</v>
      </c>
      <c r="C20" s="6" t="s">
        <v>83</v>
      </c>
      <c r="D20" s="13" t="s">
        <v>99</v>
      </c>
      <c r="E20" s="8">
        <v>5800000</v>
      </c>
      <c r="F20" s="9">
        <v>8750</v>
      </c>
      <c r="G20" s="9" t="s">
        <v>59</v>
      </c>
      <c r="H20" s="10" t="s">
        <v>28</v>
      </c>
      <c r="I20" s="9" t="s">
        <v>105</v>
      </c>
      <c r="J20" s="9" t="s">
        <v>106</v>
      </c>
    </row>
    <row r="21" spans="1:10" ht="33.75" customHeight="1" x14ac:dyDescent="0.25">
      <c r="A21" s="5">
        <v>19</v>
      </c>
      <c r="B21" s="7" t="s">
        <v>107</v>
      </c>
      <c r="C21" s="6" t="s">
        <v>98</v>
      </c>
      <c r="D21" s="13" t="s">
        <v>108</v>
      </c>
      <c r="E21" s="9">
        <f>(82752000000+87970000000+125500000000)/4000</f>
        <v>74055500</v>
      </c>
      <c r="F21" s="9">
        <f>24*3000</f>
        <v>72000</v>
      </c>
      <c r="G21" s="9" t="s">
        <v>109</v>
      </c>
      <c r="H21" s="10" t="s">
        <v>110</v>
      </c>
      <c r="I21" s="9" t="s">
        <v>95</v>
      </c>
      <c r="J21" s="9" t="s">
        <v>55</v>
      </c>
    </row>
    <row r="22" spans="1:10" ht="33.75" customHeight="1" x14ac:dyDescent="0.25">
      <c r="A22" s="5">
        <v>20</v>
      </c>
      <c r="B22" s="7" t="s">
        <v>116</v>
      </c>
      <c r="C22" s="6" t="s">
        <v>8</v>
      </c>
      <c r="D22" s="7" t="s">
        <v>117</v>
      </c>
      <c r="E22" s="9">
        <f>22824095600/4000</f>
        <v>5706023.9000000004</v>
      </c>
      <c r="F22" s="9">
        <v>6500</v>
      </c>
      <c r="G22" s="9" t="s">
        <v>109</v>
      </c>
      <c r="H22" s="10" t="s">
        <v>29</v>
      </c>
      <c r="I22" s="9" t="s">
        <v>118</v>
      </c>
      <c r="J22" s="9" t="s">
        <v>119</v>
      </c>
    </row>
    <row r="23" spans="1:10" ht="46.5" x14ac:dyDescent="0.25">
      <c r="A23" s="5">
        <v>21</v>
      </c>
      <c r="B23" s="7" t="s">
        <v>111</v>
      </c>
      <c r="C23" s="6" t="s">
        <v>8</v>
      </c>
      <c r="D23" s="7" t="s">
        <v>34</v>
      </c>
      <c r="E23" s="9">
        <v>9661835.75</v>
      </c>
      <c r="F23" s="9">
        <f>3500+2850+2850</f>
        <v>9200</v>
      </c>
      <c r="G23" s="9" t="s">
        <v>59</v>
      </c>
      <c r="H23" s="10" t="s">
        <v>54</v>
      </c>
      <c r="I23" s="9" t="s">
        <v>112</v>
      </c>
      <c r="J23" s="9" t="s">
        <v>105</v>
      </c>
    </row>
    <row r="24" spans="1:10" ht="55.5" customHeight="1" x14ac:dyDescent="0.25">
      <c r="A24" s="5">
        <v>22</v>
      </c>
      <c r="B24" s="7" t="s">
        <v>113</v>
      </c>
      <c r="C24" s="7" t="s">
        <v>40</v>
      </c>
      <c r="D24" s="7" t="s">
        <v>31</v>
      </c>
      <c r="E24" s="9">
        <f>12978920.89+2007960.42</f>
        <v>14986881.310000001</v>
      </c>
      <c r="F24" s="9">
        <v>20225</v>
      </c>
      <c r="G24" s="9" t="s">
        <v>30</v>
      </c>
      <c r="H24" s="10" t="s">
        <v>101</v>
      </c>
      <c r="I24" s="9" t="s">
        <v>114</v>
      </c>
      <c r="J24" s="9" t="s">
        <v>115</v>
      </c>
    </row>
    <row r="25" spans="1:10" ht="46.5" x14ac:dyDescent="0.25">
      <c r="A25" s="5">
        <v>23</v>
      </c>
      <c r="B25" s="7" t="s">
        <v>120</v>
      </c>
      <c r="C25" s="7" t="s">
        <v>121</v>
      </c>
      <c r="D25" s="7" t="s">
        <v>123</v>
      </c>
      <c r="E25" s="9">
        <v>8476505.4100000001</v>
      </c>
      <c r="F25" s="9">
        <v>15255</v>
      </c>
      <c r="G25" s="9" t="s">
        <v>46</v>
      </c>
      <c r="H25" s="10" t="s">
        <v>29</v>
      </c>
      <c r="I25" s="9" t="s">
        <v>122</v>
      </c>
      <c r="J25" s="9" t="s">
        <v>105</v>
      </c>
    </row>
    <row r="27" spans="1:10" x14ac:dyDescent="0.25">
      <c r="F27" s="1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Sheet1!_Hlk219562958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Bunpheakdey Pauch</dc:creator>
  <cp:lastModifiedBy>Bunpheakdey Pauch</cp:lastModifiedBy>
  <dcterms:created xsi:type="dcterms:W3CDTF">2026-05-20T07:15:05Z</dcterms:created>
  <dcterms:modified xsi:type="dcterms:W3CDTF">2026-05-20T11:36:35Z</dcterms:modified>
</cp:coreProperties>
</file>